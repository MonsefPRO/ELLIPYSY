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Vague 1" sheetId="2" state="visible" r:id="rId2"/>
  </sheets>
  <definedNames>
    <definedName name="_xlnm._FilterDatabase" localSheetId="1" hidden="1">'Vague 1'!$A$1:$Q$21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 &quot;€/kWh&quot;"/>
    <numFmt numFmtId="166" formatCode="#,##0 &quot;€/an&quot;;;&quot;—&quot;"/>
    <numFmt numFmtId="167" formatCode="#,##0&quot; €/an&quot;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3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top" wrapText="1"/>
    </xf>
    <xf numFmtId="2" fontId="3" fillId="4" borderId="1" applyAlignment="1" pivotButton="0" quotePrefix="0" xfId="0">
      <alignment vertical="top"/>
    </xf>
    <xf numFmtId="166" fontId="4" fillId="4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3" fillId="3" borderId="1" pivotButton="0" quotePrefix="0" xfId="0"/>
    <xf numFmtId="0" fontId="3" fillId="4" borderId="1" pivotButton="0" quotePrefix="0" xfId="0"/>
    <xf numFmtId="0" fontId="1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3" fillId="0" borderId="1" pivotButton="0" quotePrefix="0" xfId="0"/>
    <xf numFmtId="0" fontId="6" fillId="0" borderId="0" applyAlignment="1" pivotButton="0" quotePrefix="0" xfId="0">
      <alignment wrapText="1"/>
    </xf>
    <xf numFmtId="167" fontId="4" fillId="4" borderId="1" applyAlignment="1" pivotButton="0" quotePrefix="0" xfId="0">
      <alignment vertical="top"/>
    </xf>
    <xf numFmtId="167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95" customWidth="1" min="3" max="3"/>
  </cols>
  <sheetData>
    <row r="1">
      <c r="A1" s="1" t="inlineStr">
        <is>
          <t>Paramètre</t>
        </is>
      </c>
      <c r="B1" s="1" t="inlineStr">
        <is>
          <t>Valeur</t>
        </is>
      </c>
      <c r="C1" s="1" t="inlineStr">
        <is>
          <t>Commentaire / source</t>
        </is>
      </c>
    </row>
    <row r="2">
      <c r="A2" s="2" t="inlineStr">
        <is>
          <t>Productible sud de la France (kWh/kWc/an)</t>
        </is>
      </c>
      <c r="B2" s="3" t="n">
        <v>1400</v>
      </c>
      <c r="C2" s="2" t="inlineStr">
        <is>
          <t>Moyenne PACA/Occitanie centrales au sol et toitures bien orientées ; ajuster par site (1250-1500). Cellule bleue = modifiable.</t>
        </is>
      </c>
    </row>
    <row r="3">
      <c r="A3" s="2" t="inlineStr">
        <is>
          <t>Taux d'encrassement retenu (part de production perdue)</t>
        </is>
      </c>
      <c r="B3" s="4" t="n">
        <v>0.06</v>
      </c>
      <c r="C3" s="2" t="inlineStr">
        <is>
          <t>Hypothèse prudente pour un site jamais nettoyé depuis 12-18 ans (littérature sectorielle : 5 à 15 %, jusqu'à 25 % en zone agricole/industrielle). Cellule bleue = modifiable.</t>
        </is>
      </c>
    </row>
    <row r="4">
      <c r="A4" s="2" t="inlineStr"/>
      <c r="B4" s="2" t="inlineStr"/>
      <c r="C4" s="2" t="inlineStr"/>
    </row>
    <row r="5">
      <c r="A5" s="5" t="inlineStr">
        <is>
          <t>Tarifs d'achat de référence (€/kWh) — à confirmer site par site</t>
        </is>
      </c>
      <c r="B5" s="2" t="inlineStr"/>
      <c r="C5" s="2" t="inlineStr"/>
    </row>
    <row r="6">
      <c r="A6" s="2" t="inlineStr">
        <is>
          <t>Centrale au sol contrat 2008-2010 (S06)</t>
        </is>
      </c>
      <c r="B6" s="6" t="n">
        <v>0.3</v>
      </c>
      <c r="C6" s="2" t="inlineStr">
        <is>
          <t>Arrêté du 10/07/2006 : 30 c€/kWh métropole (Légifrance JORFTEXT000000818376), + indexation</t>
        </is>
      </c>
    </row>
    <row r="7">
      <c r="A7" s="2" t="inlineStr">
        <is>
          <t>Centrale au sol contrat 2010-2011 (S10)</t>
        </is>
      </c>
      <c r="B7" s="6" t="n">
        <v>0.31</v>
      </c>
      <c r="C7" s="2" t="inlineStr">
        <is>
          <t>Arrêtés du 12/01/2010 et 31/08/2010, tarifs sol régionalisés — estimation, à confirmer</t>
        </is>
      </c>
    </row>
    <row r="8">
      <c r="A8" s="2" t="inlineStr">
        <is>
          <t>Toiture intégrée au bâti 2009-2011</t>
        </is>
      </c>
      <c r="B8" s="6" t="n">
        <v>0.55</v>
      </c>
      <c r="C8" s="2" t="inlineStr">
        <is>
          <t>S06 : 30 + prime intégration 25 c€/kWh = 55 c€/kWh (hangars, serres, caves)</t>
        </is>
      </c>
    </row>
    <row r="9">
      <c r="A9" s="2" t="inlineStr">
        <is>
          <t>Serre / toiture 2012-2013 (post-moratoire, AO CRE)</t>
        </is>
      </c>
      <c r="B9" s="6" t="n">
        <v>0.11</v>
      </c>
      <c r="C9" s="2" t="inlineStr">
        <is>
          <t>Appels d'offres CRE 2011-2013 — estimation basse, à confirmer</t>
        </is>
      </c>
    </row>
    <row r="10">
      <c r="A10" s="2" t="inlineStr"/>
      <c r="B10" s="2" t="inlineStr"/>
      <c r="C10" s="2" t="inlineStr"/>
    </row>
    <row r="11">
      <c r="A11" s="5" t="inlineStr">
        <is>
          <t>MODE D'EMPLOI</t>
        </is>
      </c>
      <c r="B11" s="2" t="inlineStr"/>
      <c r="C11" s="2" t="inlineStr"/>
    </row>
    <row r="12">
      <c r="A12" s="2" t="inlineStr">
        <is>
          <t>1.</t>
        </is>
      </c>
      <c r="B12" s="2" t="inlineStr"/>
      <c r="C12" s="2" t="inlineStr">
        <is>
          <t>Onglet 'Vague 1' : colonnes A à O pré-remplies (données recherchées juillet 2026, voir fiabilité col. O). Colonnes P (Statut) et Q (Notes) à remplir au fil de la prospection — liste déroulante en P.</t>
        </is>
      </c>
    </row>
    <row r="13">
      <c r="A13" s="2" t="inlineStr">
        <is>
          <t>2.</t>
        </is>
      </c>
      <c r="B13" s="2" t="inlineStr"/>
      <c r="C13" s="2" t="inlineStr">
        <is>
          <t>Colonne L (tarif estimé, en bleu) : ajustez quand le prospect confirme son tarif réel. Colonne M pré-calculée avec : MWc × 1 000 × productible (B2) × encrassement (B3) × tarif (col. L). Recalculez à la main ou demandez-moi une mise à jour du fichier.</t>
        </is>
      </c>
    </row>
    <row r="14">
      <c r="A14" s="2" t="inlineStr">
        <is>
          <t>3.</t>
        </is>
      </c>
      <c r="B14" s="2" t="inlineStr"/>
      <c r="C14" s="2" t="inlineStr">
        <is>
          <t>Les cellules bleues sont modifiables ; la colonne M est une valeur pré-calculée (pas une formule), pensez à la mettre à jour si vous changez le tarif.</t>
        </is>
      </c>
    </row>
    <row r="15">
      <c r="A15" s="2" t="inlineStr">
        <is>
          <t>4.</t>
        </is>
      </c>
      <c r="B15" s="2" t="inlineStr"/>
      <c r="C15" s="2" t="inlineStr">
        <is>
          <t>Rappel séquence 7 jours : J2 email + invitation LinkedIn le même jour ; J+3/J+4 appel : « je vous ai laissé un mail au sujet du nettoyage de votre centrale solaire de [commune] ».</t>
        </is>
      </c>
    </row>
    <row r="16">
      <c r="A16" s="2" t="inlineStr"/>
      <c r="B16" s="2" t="inlineStr"/>
      <c r="C16" s="2" t="inlineStr"/>
    </row>
    <row r="17">
      <c r="A17" s="7" t="inlineStr">
        <is>
          <t>AVERTISSEMENT</t>
        </is>
      </c>
      <c r="B17" s="2" t="inlineStr"/>
      <c r="C17" s="2" t="inlineStr">
        <is>
          <t>Pertes estimées = ordre de grandeur commercial (MWc × productible × encrassement × tarif), PAS un chiffrage contractuel. Tarifs réels et productibles à confirmer par site. Formats d'email 'prenom.nom@...' = conventions probables non vérifiées.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55" customWidth="1" min="4" max="4"/>
    <col width="12" customWidth="1" min="5" max="5"/>
    <col width="8" customWidth="1" min="6" max="6"/>
    <col width="11" customWidth="1" min="7" max="7"/>
    <col width="24" customWidth="1" min="8" max="8"/>
    <col width="38" customWidth="1" min="9" max="9"/>
    <col width="34" customWidth="1" min="10" max="10"/>
    <col width="34" customWidth="1" min="11" max="11"/>
    <col width="12" customWidth="1" min="12" max="12"/>
    <col width="18" customWidth="1" min="13" max="13"/>
    <col width="48" customWidth="1" min="14" max="14"/>
    <col width="11" customWidth="1" min="15" max="15"/>
    <col width="14" customWidth="1" min="16" max="16"/>
    <col width="30" customWidth="1" min="17" max="17"/>
  </cols>
  <sheetData>
    <row r="1" ht="30" customHeight="1">
      <c r="A1" s="8" t="inlineStr">
        <is>
          <t>Priorité</t>
        </is>
      </c>
      <c r="B1" s="8" t="inlineStr">
        <is>
          <t>Cible</t>
        </is>
      </c>
      <c r="C1" s="8" t="inlineStr">
        <is>
          <t>Type</t>
        </is>
      </c>
      <c r="D1" s="8" t="inlineStr">
        <is>
          <t>Sites / centrales concernés</t>
        </is>
      </c>
      <c r="E1" s="8" t="inlineStr">
        <is>
          <t>Dépt</t>
        </is>
      </c>
      <c r="F1" s="8" t="inlineStr">
        <is>
          <t>MWc</t>
        </is>
      </c>
      <c r="G1" s="8" t="inlineStr">
        <is>
          <t>Année MES</t>
        </is>
      </c>
      <c r="H1" s="8" t="inlineStr">
        <is>
          <t>Téléphone</t>
        </is>
      </c>
      <c r="I1" s="8" t="inlineStr">
        <is>
          <t>Email / canal</t>
        </is>
      </c>
      <c r="J1" s="8" t="inlineStr">
        <is>
          <t>LinkedIn</t>
        </is>
      </c>
      <c r="K1" s="8" t="inlineStr">
        <is>
          <t>Poste à cibler</t>
        </is>
      </c>
      <c r="L1" s="8" t="inlineStr">
        <is>
          <t>Tarif estimé (€/kWh)</t>
        </is>
      </c>
      <c r="M1" s="8" t="inlineStr">
        <is>
          <t>Perte encrassement estimée (€/an)</t>
        </is>
      </c>
      <c r="N1" s="8" t="inlineStr">
        <is>
          <t>Objet d'email suggéré</t>
        </is>
      </c>
      <c r="O1" s="8" t="inlineStr">
        <is>
          <t>Fiabilité données</t>
        </is>
      </c>
      <c r="P1" s="8" t="inlineStr">
        <is>
          <t>Statut</t>
        </is>
      </c>
      <c r="Q1" s="8" t="inlineStr">
        <is>
          <t>Notes</t>
        </is>
      </c>
    </row>
    <row r="2">
      <c r="A2" s="9" t="n">
        <v>1</v>
      </c>
      <c r="B2" s="9" t="inlineStr">
        <is>
          <t>Tenergie</t>
        </is>
      </c>
      <c r="C2" s="9" t="inlineStr">
        <is>
          <t>Exploitant multi-sites</t>
        </is>
      </c>
      <c r="D2" s="9" t="inlineStr">
        <is>
          <t>Plus de 500 hangars agricoles + 48 centrales au sol (285 MWc), PACA/Occitanie, dont sites 2008-2013 (ex. Figanières)</t>
        </is>
      </c>
      <c r="E2" s="9" t="inlineStr">
        <is>
          <t>13 (siège Fuveau)</t>
        </is>
      </c>
      <c r="F2" s="9" t="n"/>
      <c r="G2" s="9" t="inlineStr">
        <is>
          <t>2008-2014</t>
        </is>
      </c>
      <c r="H2" s="9" t="inlineStr">
        <is>
          <t>04 42 28 72 95</t>
        </is>
      </c>
      <c r="I2" s="9" t="inlineStr">
        <is>
          <t>contact@tenergie.fr</t>
        </is>
      </c>
      <c r="J2" s="9" t="inlineStr">
        <is>
          <t>linkedin.com/company/tenergie</t>
        </is>
      </c>
      <c r="K2" s="9" t="inlineStr">
        <is>
          <t>Responsable Exploitation / O&amp;M</t>
        </is>
      </c>
      <c r="L2" s="10" t="n"/>
      <c r="M2" s="11" t="inlineStr">
        <is>
          <t>à chiffrer</t>
        </is>
      </c>
      <c r="N2" s="9" t="inlineStr">
        <is>
          <t>Nettoyage drone de votre parc de hangars — audit offert sur 3 sites pilotes</t>
        </is>
      </c>
      <c r="O2" s="12" t="inlineStr">
        <is>
          <t>haute</t>
        </is>
      </c>
      <c r="P2" s="13" t="inlineStr">
        <is>
          <t>À contacter</t>
        </is>
      </c>
      <c r="Q2" s="14" t="inlineStr"/>
    </row>
    <row r="3">
      <c r="A3" s="9" t="n">
        <v>2</v>
      </c>
      <c r="B3" s="9" t="inlineStr">
        <is>
          <t>Eco Delta O&amp;M</t>
        </is>
      </c>
      <c r="C3" s="9" t="inlineStr">
        <is>
          <t>Exploitant local (La Ciotat / Aix)</t>
        </is>
      </c>
      <c r="D3" s="9" t="inlineStr">
        <is>
          <t>6 centrales du plateau des Mées / Puimichel (2011-2012)</t>
        </is>
      </c>
      <c r="E3" s="9" t="inlineStr">
        <is>
          <t>04</t>
        </is>
      </c>
      <c r="F3" s="9" t="n">
        <v>36.2</v>
      </c>
      <c r="G3" s="9" t="inlineStr">
        <is>
          <t>2011-2012</t>
        </is>
      </c>
      <c r="H3" s="9" t="inlineStr">
        <is>
          <t>04 42 32 73 30</t>
        </is>
      </c>
      <c r="I3" s="9" t="inlineStr">
        <is>
          <t>contact@ecodelta.fr</t>
        </is>
      </c>
      <c r="J3" s="9" t="inlineStr">
        <is>
          <t>ecodelta.fr</t>
        </is>
      </c>
      <c r="K3" s="9" t="inlineStr">
        <is>
          <t>Responsable O&amp;M (Eco Delta O&amp;M)</t>
        </is>
      </c>
      <c r="L3" s="10" t="n">
        <v>0.31</v>
      </c>
      <c r="M3" s="21" t="n">
        <v>942648</v>
      </c>
      <c r="N3" s="9" t="inlineStr">
        <is>
          <t>Vos centrales des Mées : ~1 M€/an de production perdue par l'encrassement ?</t>
        </is>
      </c>
      <c r="O3" s="12" t="inlineStr">
        <is>
          <t>vérifié</t>
        </is>
      </c>
      <c r="P3" s="13" t="inlineStr">
        <is>
          <t>À contacter</t>
        </is>
      </c>
      <c r="Q3" s="14" t="inlineStr"/>
    </row>
    <row r="4">
      <c r="A4" s="9" t="n">
        <v>3</v>
      </c>
      <c r="B4" s="9" t="inlineStr">
        <is>
          <t>ENGIE Green</t>
        </is>
      </c>
      <c r="C4" s="9" t="inlineStr">
        <is>
          <t>Exploitant multi-sites</t>
        </is>
      </c>
      <c r="D4" s="9" t="inlineStr">
        <is>
          <t>Curbans (33), Le Mouruen-Signes (7), Vinon-sur-Verdon (4,2), Les Mées ex-Solairedirect (23,6)</t>
        </is>
      </c>
      <c r="E4" s="9" t="inlineStr">
        <is>
          <t>04/83/34 (siège Montpellier)</t>
        </is>
      </c>
      <c r="F4" s="9" t="n">
        <v>67.8</v>
      </c>
      <c r="G4" s="9" t="inlineStr">
        <is>
          <t>2009-2011</t>
        </is>
      </c>
      <c r="H4" s="9" t="inlineStr">
        <is>
          <t>04 99 52 64 70</t>
        </is>
      </c>
      <c r="I4" s="9" t="inlineStr">
        <is>
          <t>formulaire engie-green.fr (format prenom.nom@engie.com)</t>
        </is>
      </c>
      <c r="J4" s="9" t="inlineStr">
        <is>
          <t>linkedin.com/company/engie-green-france</t>
        </is>
      </c>
      <c r="K4" s="9" t="inlineStr">
        <is>
          <t>Responsable centre d'exploitation solaire sud / Asset Manager Occitanie-PACA</t>
        </is>
      </c>
      <c r="L4" s="10" t="n">
        <v>0.31</v>
      </c>
      <c r="M4" s="21" t="n">
        <v>1765512</v>
      </c>
      <c r="N4" s="9" t="inlineStr">
        <is>
          <t>Curbans, Signes, Vinon : 15 ans d'encrassement, combien de MWh perdus ?</t>
        </is>
      </c>
      <c r="O4" s="12" t="inlineStr">
        <is>
          <t>vérifié</t>
        </is>
      </c>
      <c r="P4" s="13" t="inlineStr">
        <is>
          <t>À contacter</t>
        </is>
      </c>
      <c r="Q4" s="14" t="inlineStr"/>
    </row>
    <row r="5">
      <c r="A5" s="9" t="n">
        <v>4</v>
      </c>
      <c r="B5" s="9" t="inlineStr">
        <is>
          <t>EDF power solutions (centre O&amp;M Colombiers)</t>
        </is>
      </c>
      <c r="C5" s="9" t="inlineStr">
        <is>
          <t>Exploitant multi-sites</t>
        </is>
      </c>
      <c r="D5" s="9" t="inlineStr">
        <is>
          <t>La Narbonnaise (7, 2008 — 1ère grande centrale de France), Sulauze-Istres (12), Gabardan-Losse (67,5)</t>
        </is>
      </c>
      <c r="E5" s="9" t="inlineStr">
        <is>
          <t>11/13/40</t>
        </is>
      </c>
      <c r="F5" s="9" t="n">
        <v>86.5</v>
      </c>
      <c r="G5" s="9" t="inlineStr">
        <is>
          <t>2008-2012</t>
        </is>
      </c>
      <c r="H5" s="9" t="inlineStr">
        <is>
          <t>04 67 00 15 34 (Colombiers) / 01 40 90 23 00</t>
        </is>
      </c>
      <c r="I5" s="9" t="inlineStr">
        <is>
          <t>format prenom.nom@edf-re.fr ; formulaire france.edf-powersolutions.com</t>
        </is>
      </c>
      <c r="J5" s="9" t="inlineStr">
        <is>
          <t>linkedin.com/company/edf-renouvelables</t>
        </is>
      </c>
      <c r="K5" s="9" t="inlineStr">
        <is>
          <t>Responsable du centre exploitation-maintenance de Colombiers</t>
        </is>
      </c>
      <c r="L5" s="10" t="n">
        <v>0.3</v>
      </c>
      <c r="M5" s="21" t="n">
        <v>2179800</v>
      </c>
      <c r="N5" s="9" t="inlineStr">
        <is>
          <t>La Narbonnaise a 18 ans : audit drone offert de la doyenne du solaire français</t>
        </is>
      </c>
      <c r="O5" s="12" t="inlineStr">
        <is>
          <t>vérifié</t>
        </is>
      </c>
      <c r="P5" s="13" t="inlineStr">
        <is>
          <t>À contacter</t>
        </is>
      </c>
      <c r="Q5" s="14" t="inlineStr"/>
    </row>
    <row r="6">
      <c r="A6" s="9" t="n">
        <v>5</v>
      </c>
      <c r="B6" s="9" t="inlineStr">
        <is>
          <t>Reden Solar (ex-Fonroche)</t>
        </is>
      </c>
      <c r="C6" s="9" t="inlineStr">
        <is>
          <t>Exploitant multi-sites</t>
        </is>
      </c>
      <c r="D6" s="9" t="inlineStr">
        <is>
          <t>~200 ha de serres agricoles PV (47 et sud-ouest), 1ères serres 2010-2011 (Buzet, Agenais, Marmandais)</t>
        </is>
      </c>
      <c r="E6" s="9" t="inlineStr">
        <is>
          <t>47 (siège Roquefort)</t>
        </is>
      </c>
      <c r="F6" s="9" t="n"/>
      <c r="G6" s="9" t="inlineStr">
        <is>
          <t>2010-2013</t>
        </is>
      </c>
      <c r="H6" s="9" t="inlineStr">
        <is>
          <t>05 64 25 20 03</t>
        </is>
      </c>
      <c r="I6" s="9" t="inlineStr">
        <is>
          <t>formulaire reden.solar (format prenom.nom@reden.solar)</t>
        </is>
      </c>
      <c r="J6" s="9" t="inlineStr">
        <is>
          <t>linkedin.com/company/redensolar</t>
        </is>
      </c>
      <c r="K6" s="9" t="inlineStr">
        <is>
          <t>Responsable Exploitation / O&amp;M France</t>
        </is>
      </c>
      <c r="L6" s="10" t="n"/>
      <c r="M6" s="11" t="inlineStr">
        <is>
          <t>à chiffrer</t>
        </is>
      </c>
      <c r="N6" s="9" t="inlineStr">
        <is>
          <t>Serres agricoles : le nettoyage qui rend aussi de la lumière à vos cultures</t>
        </is>
      </c>
      <c r="O6" s="12" t="inlineStr">
        <is>
          <t>haute</t>
        </is>
      </c>
      <c r="P6" s="13" t="inlineStr">
        <is>
          <t>À contacter</t>
        </is>
      </c>
      <c r="Q6" s="14" t="inlineStr"/>
    </row>
    <row r="7">
      <c r="A7" s="9" t="n">
        <v>6</v>
      </c>
      <c r="B7" s="9" t="inlineStr">
        <is>
          <t>Amarenco France</t>
        </is>
      </c>
      <c r="C7" s="9" t="inlineStr">
        <is>
          <t>Exploitant multi-sites</t>
        </is>
      </c>
      <c r="D7" s="9" t="inlineStr">
        <is>
          <t>Serres solaires de Torreilles (96 serres, 9,6 MWc, 2012) + toitures agricoles sud-ouest</t>
        </is>
      </c>
      <c r="E7" s="9" t="inlineStr">
        <is>
          <t>66/81 (siège Lagrave)</t>
        </is>
      </c>
      <c r="F7" s="9" t="n">
        <v>9.6</v>
      </c>
      <c r="G7" s="9" t="inlineStr">
        <is>
          <t>2012</t>
        </is>
      </c>
      <c r="H7" s="9" t="inlineStr">
        <is>
          <t>05 63 34 20 42</t>
        </is>
      </c>
      <c r="I7" s="9" t="inlineStr">
        <is>
          <t>france@amarencogroup.com</t>
        </is>
      </c>
      <c r="J7" s="9" t="inlineStr">
        <is>
          <t>linkedin.com/company/amarenco</t>
        </is>
      </c>
      <c r="K7" s="9" t="inlineStr">
        <is>
          <t>Responsable Exploitation / O&amp;M</t>
        </is>
      </c>
      <c r="L7" s="10" t="n">
        <v>0.11</v>
      </c>
      <c r="M7" s="21" t="n">
        <v>88704</v>
      </c>
      <c r="N7" s="9" t="inlineStr">
        <is>
          <t>Vos 96 serres de Torreilles : un passage drone, zéro échafaudage</t>
        </is>
      </c>
      <c r="O7" s="12" t="inlineStr">
        <is>
          <t>vérifié</t>
        </is>
      </c>
      <c r="P7" s="13" t="inlineStr">
        <is>
          <t>À contacter</t>
        </is>
      </c>
      <c r="Q7" s="14" t="inlineStr"/>
    </row>
    <row r="8">
      <c r="A8" s="9" t="n">
        <v>7</v>
      </c>
      <c r="B8" s="9" t="inlineStr">
        <is>
          <t>Arkolia Énergies</t>
        </is>
      </c>
      <c r="C8" s="9" t="inlineStr">
        <is>
          <t>Exploitant multi-sites</t>
        </is>
      </c>
      <c r="D8" s="9" t="inlineStr">
        <is>
          <t>144 centrales refinancées en 2020, majoritairement toitures agricoles Occitanie 2011+</t>
        </is>
      </c>
      <c r="E8" s="9" t="inlineStr">
        <is>
          <t>34 (siège Mauguio)</t>
        </is>
      </c>
      <c r="F8" s="9" t="n"/>
      <c r="G8" s="9" t="inlineStr">
        <is>
          <t>2011-2014</t>
        </is>
      </c>
      <c r="H8" s="9" t="inlineStr">
        <is>
          <t>04 67 40 47 03</t>
        </is>
      </c>
      <c r="I8" s="9" t="inlineStr">
        <is>
          <t>info@arkolia-energies.com</t>
        </is>
      </c>
      <c r="J8" s="9" t="inlineStr">
        <is>
          <t>linkedin.com/company/arkolia-energies</t>
        </is>
      </c>
      <c r="K8" s="9" t="inlineStr">
        <is>
          <t>Responsable O&amp;M / Asset Manager</t>
        </is>
      </c>
      <c r="L8" s="10" t="n"/>
      <c r="M8" s="11" t="inlineStr">
        <is>
          <t>à chiffrer</t>
        </is>
      </c>
      <c r="N8" s="9" t="inlineStr">
        <is>
          <t>144 centrales, combien jamais nettoyées ? Audit drone offert</t>
        </is>
      </c>
      <c r="O8" s="12" t="inlineStr">
        <is>
          <t>haute</t>
        </is>
      </c>
      <c r="P8" s="13" t="inlineStr">
        <is>
          <t>À contacter</t>
        </is>
      </c>
      <c r="Q8" s="14" t="inlineStr"/>
    </row>
    <row r="9">
      <c r="A9" s="9" t="n">
        <v>8</v>
      </c>
      <c r="B9" s="9" t="inlineStr">
        <is>
          <t>Saint-Charles International (+ Akuo Energy)</t>
        </is>
      </c>
      <c r="C9" s="9" t="inlineStr">
        <is>
          <t>Site unique majeur</t>
        </is>
      </c>
      <c r="D9" s="9" t="inlineStr">
        <is>
          <t>Toiture PV du marché Saint-Charles, Perpignan — 8,8 MWc, 97 000 panneaux, 7 ha (2011)</t>
        </is>
      </c>
      <c r="E9" s="9" t="inlineStr">
        <is>
          <t>66</t>
        </is>
      </c>
      <c r="F9" s="9" t="n">
        <v>8.800000000000001</v>
      </c>
      <c r="G9" s="9" t="inlineStr">
        <is>
          <t>2011</t>
        </is>
      </c>
      <c r="H9" s="9" t="inlineStr">
        <is>
          <t>standard via saintcharlesinternational.com</t>
        </is>
      </c>
      <c r="I9" s="9" t="inlineStr">
        <is>
          <t>formulaire site + akuoenergy.com</t>
        </is>
      </c>
      <c r="J9" s="9" t="inlineStr">
        <is>
          <t>linkedin (Saint-Charles International / Akuo Energy)</t>
        </is>
      </c>
      <c r="K9" s="9" t="inlineStr">
        <is>
          <t>Direction technique SNIFL + Asset Manager Akuo</t>
        </is>
      </c>
      <c r="L9" s="10" t="n">
        <v>0.55</v>
      </c>
      <c r="M9" s="21" t="n">
        <v>406560</v>
      </c>
      <c r="N9" s="9" t="inlineStr">
        <is>
          <t>7 hectares de toiture solaire : la plus grande d'Europe à sa naissance mérite un nettoyage</t>
        </is>
      </c>
      <c r="O9" s="12" t="inlineStr">
        <is>
          <t>haute</t>
        </is>
      </c>
      <c r="P9" s="13" t="inlineStr">
        <is>
          <t>À contacter</t>
        </is>
      </c>
      <c r="Q9" s="14" t="inlineStr"/>
    </row>
    <row r="10">
      <c r="A10" s="9" t="n">
        <v>9</v>
      </c>
      <c r="B10" s="9" t="inlineStr">
        <is>
          <t>Neoen</t>
        </is>
      </c>
      <c r="C10" s="9" t="inlineStr">
        <is>
          <t>Exploitant multi-sites</t>
        </is>
      </c>
      <c r="D10" s="9" t="inlineStr">
        <is>
          <t>Torreilles (12 MWc, 2011, ex-Poweo) + O&amp;M de la centrale d'Ortaffa (25 MWc)</t>
        </is>
      </c>
      <c r="E10" s="9" t="inlineStr">
        <is>
          <t>66</t>
        </is>
      </c>
      <c r="F10" s="9" t="n">
        <v>12</v>
      </c>
      <c r="G10" s="9" t="inlineStr">
        <is>
          <t>2011</t>
        </is>
      </c>
      <c r="H10" s="9" t="inlineStr">
        <is>
          <t>01 70 91 62 62</t>
        </is>
      </c>
      <c r="I10" s="9" t="inlineStr">
        <is>
          <t>contact@neoen.com</t>
        </is>
      </c>
      <c r="J10" s="9" t="inlineStr">
        <is>
          <t>linkedin.com/company/neoen</t>
        </is>
      </c>
      <c r="K10" s="9" t="inlineStr">
        <is>
          <t>Responsable O&amp;M France / Asset Manager</t>
        </is>
      </c>
      <c r="L10" s="10" t="n">
        <v>0.31</v>
      </c>
      <c r="M10" s="21" t="n">
        <v>312480</v>
      </c>
      <c r="N10" s="9" t="inlineStr">
        <is>
          <t>Torreilles : 14 ans sans nettoyage = combien de MWh perdus ?</t>
        </is>
      </c>
      <c r="O10" s="12" t="inlineStr">
        <is>
          <t>vérifié</t>
        </is>
      </c>
      <c r="P10" s="13" t="inlineStr">
        <is>
          <t>À contacter</t>
        </is>
      </c>
      <c r="Q10" s="14" t="inlineStr"/>
    </row>
    <row r="11">
      <c r="A11" s="9" t="n">
        <v>10</v>
      </c>
      <c r="B11" s="9" t="inlineStr">
        <is>
          <t>123 IM (propriétaire d'Ortaffa)</t>
        </is>
      </c>
      <c r="C11" s="9" t="inlineStr">
        <is>
          <t>Propriétaire / fonds</t>
        </is>
      </c>
      <c r="D11" s="9" t="inlineStr">
        <is>
          <t>Centrale agrisolaire d'Ortaffa (25 MWc, 2013) — O&amp;M assurée par Neoen</t>
        </is>
      </c>
      <c r="E11" s="9" t="inlineStr">
        <is>
          <t>66</t>
        </is>
      </c>
      <c r="F11" s="9" t="n">
        <v>25</v>
      </c>
      <c r="G11" s="9" t="inlineStr">
        <is>
          <t>2013</t>
        </is>
      </c>
      <c r="H11" s="9" t="inlineStr">
        <is>
          <t>01 49 26 98 00</t>
        </is>
      </c>
      <c r="I11" s="9" t="inlineStr">
        <is>
          <t>info@123-im.com</t>
        </is>
      </c>
      <c r="J11" s="9" t="inlineStr">
        <is>
          <t>linkedin.com/company/123-investment-managers</t>
        </is>
      </c>
      <c r="K11" s="9" t="inlineStr">
        <is>
          <t>Asset Manager infrastructure / participations EnR</t>
        </is>
      </c>
      <c r="L11" s="10" t="n">
        <v>0.11</v>
      </c>
      <c r="M11" s="21" t="n">
        <v>231000</v>
      </c>
      <c r="N11" s="9" t="inlineStr">
        <is>
          <t>Ortaffa : récupérez la production perdue avant la fin du contrat d'achat</t>
        </is>
      </c>
      <c r="O11" s="12" t="inlineStr">
        <is>
          <t>vérifié</t>
        </is>
      </c>
      <c r="P11" s="13" t="inlineStr">
        <is>
          <t>À contacter</t>
        </is>
      </c>
      <c r="Q11" s="14" t="inlineStr"/>
    </row>
    <row r="12">
      <c r="A12" s="15" t="n">
        <v>11</v>
      </c>
      <c r="B12" s="15" t="inlineStr">
        <is>
          <t>Urbasolar (groupe Axpo)</t>
        </is>
      </c>
      <c r="C12" s="15" t="inlineStr">
        <is>
          <t>Exploitant multi-sites</t>
        </is>
      </c>
      <c r="D12" s="15" t="inlineStr">
        <is>
          <t>Centre de supervision O&amp;M Montpellier, &gt;1 GWc, centrales AO CRE 2011-2014, serres Gard/Hérault</t>
        </is>
      </c>
      <c r="E12" s="15" t="inlineStr">
        <is>
          <t>34 (siège Montpellier)</t>
        </is>
      </c>
      <c r="F12" s="15" t="n"/>
      <c r="G12" s="15" t="inlineStr">
        <is>
          <t>2011-2014</t>
        </is>
      </c>
      <c r="H12" s="15" t="inlineStr">
        <is>
          <t>04 67 64 46 44</t>
        </is>
      </c>
      <c r="I12" s="15" t="inlineStr">
        <is>
          <t>contact@urbasolar.com</t>
        </is>
      </c>
      <c r="J12" s="15" t="inlineStr">
        <is>
          <t>linkedin.com/company/urbasolar1</t>
        </is>
      </c>
      <c r="K12" s="15" t="inlineStr">
        <is>
          <t>Responsable centre de supervision / O&amp;M</t>
        </is>
      </c>
      <c r="L12" s="16" t="n"/>
      <c r="M12" s="17" t="inlineStr">
        <is>
          <t>à chiffrer</t>
        </is>
      </c>
      <c r="N12" s="15" t="inlineStr">
        <is>
          <t>Audit drone offert sur vos sites les plus anciens</t>
        </is>
      </c>
      <c r="O12" s="18" t="inlineStr">
        <is>
          <t>haute</t>
        </is>
      </c>
      <c r="P12" s="13" t="inlineStr">
        <is>
          <t>À contacter</t>
        </is>
      </c>
      <c r="Q12" s="19" t="inlineStr"/>
    </row>
    <row r="13">
      <c r="A13" s="15" t="n">
        <v>12</v>
      </c>
      <c r="B13" s="15" t="inlineStr">
        <is>
          <t>CVE</t>
        </is>
      </c>
      <c r="C13" s="15" t="inlineStr">
        <is>
          <t>Exploitant multi-sites</t>
        </is>
      </c>
      <c r="D13" s="15" t="inlineStr">
        <is>
          <t>~890 MWc, &gt;80 centrales, rachats de parcs 2010-2012, PACA/Occitanie</t>
        </is>
      </c>
      <c r="E13" s="15" t="inlineStr">
        <is>
          <t>13 (siège Marseille)</t>
        </is>
      </c>
      <c r="F13" s="15" t="n"/>
      <c r="G13" s="15" t="inlineStr">
        <is>
          <t>2010-2014</t>
        </is>
      </c>
      <c r="H13" s="15" t="inlineStr">
        <is>
          <t>04 86 76 03 53</t>
        </is>
      </c>
      <c r="I13" s="15" t="inlineStr">
        <is>
          <t>formulaire cvegroup.com (format prenom.nom@cvegroup.com)</t>
        </is>
      </c>
      <c r="J13" s="15" t="inlineStr">
        <is>
          <t>linkedin.com/company/cap-vert-energie</t>
        </is>
      </c>
      <c r="K13" s="15" t="inlineStr">
        <is>
          <t>Responsable Exploitation / O&amp;M</t>
        </is>
      </c>
      <c r="L13" s="16" t="n"/>
      <c r="M13" s="17" t="inlineStr">
        <is>
          <t>à chiffrer</t>
        </is>
      </c>
      <c r="N13" s="15" t="inlineStr">
        <is>
          <t>Vos parcs rachetés 2010-2012 : historique de nettoyage inconnu ?</t>
        </is>
      </c>
      <c r="O13" s="18" t="inlineStr">
        <is>
          <t>haute</t>
        </is>
      </c>
      <c r="P13" s="13" t="inlineStr">
        <is>
          <t>À contacter</t>
        </is>
      </c>
      <c r="Q13" s="19" t="inlineStr"/>
    </row>
    <row r="14">
      <c r="A14" s="15" t="n">
        <v>13</v>
      </c>
      <c r="B14" s="15" t="inlineStr">
        <is>
          <t>Valeco (EnBW)</t>
        </is>
      </c>
      <c r="C14" s="15" t="inlineStr">
        <is>
          <t>Exploitant multi-sites</t>
        </is>
      </c>
      <c r="D14" s="15" t="inlineStr">
        <is>
          <t>~180 MWc solaire au sol, O&amp;M interne, Occitanie</t>
        </is>
      </c>
      <c r="E14" s="15" t="inlineStr">
        <is>
          <t>34 (siège Montpellier)</t>
        </is>
      </c>
      <c r="F14" s="15" t="n"/>
      <c r="G14" s="15" t="inlineStr">
        <is>
          <t>2009-2014</t>
        </is>
      </c>
      <c r="H14" s="15" t="inlineStr">
        <is>
          <t>04 67 40 74 00</t>
        </is>
      </c>
      <c r="I14" s="15" t="inlineStr">
        <is>
          <t>formulaire groupevaleco.com</t>
        </is>
      </c>
      <c r="J14" s="15" t="inlineStr">
        <is>
          <t>linkedin.com/company/groupe-valeco</t>
        </is>
      </c>
      <c r="K14" s="15" t="inlineStr">
        <is>
          <t>Responsable Services Exploitation et Maintenance</t>
        </is>
      </c>
      <c r="L14" s="16" t="n"/>
      <c r="M14" s="17" t="inlineStr">
        <is>
          <t>à chiffrer</t>
        </is>
      </c>
      <c r="N14" s="15" t="inlineStr">
        <is>
          <t>Centrales Occitanie : audit encrassement offert par drone</t>
        </is>
      </c>
      <c r="O14" s="18" t="inlineStr">
        <is>
          <t>moyenne</t>
        </is>
      </c>
      <c r="P14" s="13" t="inlineStr">
        <is>
          <t>À contacter</t>
        </is>
      </c>
      <c r="Q14" s="19" t="inlineStr"/>
    </row>
    <row r="15">
      <c r="A15" s="15" t="n">
        <v>14</v>
      </c>
      <c r="B15" s="15" t="inlineStr">
        <is>
          <t>Corsica Sole</t>
        </is>
      </c>
      <c r="C15" s="15" t="inlineStr">
        <is>
          <t>Exploitant multi-sites</t>
        </is>
      </c>
      <c r="D15" s="15" t="inlineStr">
        <is>
          <t>Centrales corses 2011-2013 : Alata, Folelli, Aghione, Prunelli-di-Casaconi, Giuncaggio, Pancheraccia, Poggio-di-Venaco</t>
        </is>
      </c>
      <c r="E15" s="15" t="inlineStr">
        <is>
          <t>2A/2B</t>
        </is>
      </c>
      <c r="F15" s="15" t="n"/>
      <c r="G15" s="15" t="inlineStr">
        <is>
          <t>2011-2013</t>
        </is>
      </c>
      <c r="H15" s="15" t="inlineStr">
        <is>
          <t>04 95 60 69 11</t>
        </is>
      </c>
      <c r="I15" s="15" t="inlineStr">
        <is>
          <t>cs.corse@corsicasole.com</t>
        </is>
      </c>
      <c r="J15" s="15" t="inlineStr">
        <is>
          <t>linkedin.com/company/corsicasole</t>
        </is>
      </c>
      <c r="K15" s="15" t="inlineStr">
        <is>
          <t>Responsable Exploitation &amp; Maintenance</t>
        </is>
      </c>
      <c r="L15" s="16" t="n"/>
      <c r="M15" s="17" t="inlineStr">
        <is>
          <t>à chiffrer</t>
        </is>
      </c>
      <c r="N15" s="15" t="inlineStr">
        <is>
          <t>Vos 7 centrales historiques corses : tournée de nettoyage drone en une mission</t>
        </is>
      </c>
      <c r="O15" s="18" t="inlineStr">
        <is>
          <t>haute</t>
        </is>
      </c>
      <c r="P15" s="13" t="inlineStr">
        <is>
          <t>À contacter</t>
        </is>
      </c>
      <c r="Q15" s="19" t="inlineStr"/>
    </row>
    <row r="16">
      <c r="A16" s="15" t="n">
        <v>15</v>
      </c>
      <c r="B16" s="15" t="inlineStr">
        <is>
          <t>Générale du Solaire</t>
        </is>
      </c>
      <c r="C16" s="15" t="inlineStr">
        <is>
          <t>Exploitant multi-sites</t>
        </is>
      </c>
      <c r="D16" s="15" t="inlineStr">
        <is>
          <t>Agence Vendargues (34) ; ex. toiture agricole Pinède, Saint-Gilles (830 kWc)</t>
        </is>
      </c>
      <c r="E16" s="15" t="inlineStr">
        <is>
          <t>34/30</t>
        </is>
      </c>
      <c r="F16" s="15" t="n">
        <v>0.83</v>
      </c>
      <c r="G16" s="15" t="inlineStr">
        <is>
          <t>2008-2014</t>
        </is>
      </c>
      <c r="H16" s="15" t="inlineStr">
        <is>
          <t>01 72 71 59 01</t>
        </is>
      </c>
      <c r="I16" s="15" t="inlineStr">
        <is>
          <t>contact@gdsolaire.com</t>
        </is>
      </c>
      <c r="J16" s="15" t="inlineStr">
        <is>
          <t>linkedin.com/company/g-n-rale-du-solaire</t>
        </is>
      </c>
      <c r="K16" s="15" t="inlineStr">
        <is>
          <t>Responsable Exploitation / O&amp;M</t>
        </is>
      </c>
      <c r="L16" s="16" t="n">
        <v>0.55</v>
      </c>
      <c r="M16" s="22" t="n">
        <v>38346</v>
      </c>
      <c r="N16" s="15" t="inlineStr">
        <is>
          <t>Vos toitures historiques du Gard et de l'Hérault</t>
        </is>
      </c>
      <c r="O16" s="18" t="inlineStr">
        <is>
          <t>moyenne</t>
        </is>
      </c>
      <c r="P16" s="13" t="inlineStr">
        <is>
          <t>À contacter</t>
        </is>
      </c>
      <c r="Q16" s="19" t="inlineStr"/>
    </row>
    <row r="17">
      <c r="A17" s="15" t="n">
        <v>16</v>
      </c>
      <c r="B17" s="15" t="inlineStr">
        <is>
          <t>TotalEnergies Renouvelables (ex-Total Quadran, ex-Aérowatt)</t>
        </is>
      </c>
      <c r="C17" s="15" t="inlineStr">
        <is>
          <t>Exploitant multi-sites</t>
        </is>
      </c>
      <c r="D17" s="15" t="inlineStr">
        <is>
          <t>Héritier des toitures Aérowatt sur caves coopératives du Languedoc (Florensac 2010, etc.) — historique basé à Béziers</t>
        </is>
      </c>
      <c r="E17" s="15" t="inlineStr">
        <is>
          <t>34</t>
        </is>
      </c>
      <c r="F17" s="15" t="n"/>
      <c r="G17" s="15" t="inlineStr">
        <is>
          <t>2009-2012</t>
        </is>
      </c>
      <c r="H17" s="15" t="inlineStr">
        <is>
          <t>à rechercher (agence Béziers historique Quadran)</t>
        </is>
      </c>
      <c r="I17" s="15" t="inlineStr">
        <is>
          <t>à rechercher</t>
        </is>
      </c>
      <c r="J17" s="15" t="inlineStr">
        <is>
          <t>linkedin.com/company/totalenergies</t>
        </is>
      </c>
      <c r="K17" s="15" t="inlineStr">
        <is>
          <t>Responsable O&amp;M génération distribuée</t>
        </is>
      </c>
      <c r="L17" s="16" t="n"/>
      <c r="M17" s="17" t="inlineStr">
        <is>
          <t>à chiffrer</t>
        </is>
      </c>
      <c r="N17" s="15" t="inlineStr">
        <is>
          <t>Toitures ex-Aérowatt sur caves coopératives : 15 ans sans nettoyage ?</t>
        </is>
      </c>
      <c r="O17" s="18" t="inlineStr">
        <is>
          <t>à vérifier</t>
        </is>
      </c>
      <c r="P17" s="13" t="inlineStr">
        <is>
          <t>À contacter</t>
        </is>
      </c>
      <c r="Q17" s="19" t="inlineStr"/>
    </row>
    <row r="18">
      <c r="A18" s="15" t="n">
        <v>17</v>
      </c>
      <c r="B18" s="15" t="inlineStr">
        <is>
          <t>Cave coopérative Florès / Vinipolis (Florensac)</t>
        </is>
      </c>
      <c r="C18" s="15" t="inlineStr">
        <is>
          <t>Cave coopérative</t>
        </is>
      </c>
      <c r="D18" s="15" t="inlineStr">
        <is>
          <t>Toiture PV 2 000 m² (2010, tiers-investissement ex-Aérowatt, bail 30 ans)</t>
        </is>
      </c>
      <c r="E18" s="15" t="inlineStr">
        <is>
          <t>34</t>
        </is>
      </c>
      <c r="F18" s="15" t="n"/>
      <c r="G18" s="15" t="inlineStr">
        <is>
          <t>2010</t>
        </is>
      </c>
      <c r="H18" s="15" t="inlineStr">
        <is>
          <t>standard cave (vinipolis.fr)</t>
        </is>
      </c>
      <c r="I18" s="15" t="inlineStr">
        <is>
          <t>via vinipolis.fr</t>
        </is>
      </c>
      <c r="J18" s="15" t="inlineStr">
        <is>
          <t>—</t>
        </is>
      </c>
      <c r="K18" s="15" t="inlineStr">
        <is>
          <t>Direction de la cave (prescripteur vers l'exploitant de la toiture)</t>
        </is>
      </c>
      <c r="L18" s="16" t="n"/>
      <c r="M18" s="17" t="inlineStr">
        <is>
          <t>à chiffrer</t>
        </is>
      </c>
      <c r="N18" s="15" t="inlineStr">
        <is>
          <t>Votre toiture solaire a 16 ans : elle éclaire moins qu'avant</t>
        </is>
      </c>
      <c r="O18" s="18" t="inlineStr">
        <is>
          <t>haute</t>
        </is>
      </c>
      <c r="P18" s="13" t="inlineStr">
        <is>
          <t>À contacter</t>
        </is>
      </c>
      <c r="Q18" s="19" t="inlineStr"/>
    </row>
    <row r="19">
      <c r="A19" s="15" t="n">
        <v>18</v>
      </c>
      <c r="B19" s="15" t="inlineStr">
        <is>
          <t>Les Vignerons de Buzet</t>
        </is>
      </c>
      <c r="C19" s="15" t="inlineStr">
        <is>
          <t>Cave coopérative</t>
        </is>
      </c>
      <c r="D19" s="15" t="inlineStr">
        <is>
          <t>8 000 m² sur le chai (4 781 panneaux, 2011, partenariat Fonroche/Reden) + ~4 000 m² chez les adhérents</t>
        </is>
      </c>
      <c r="E19" s="15" t="inlineStr">
        <is>
          <t>47</t>
        </is>
      </c>
      <c r="F19" s="15" t="n"/>
      <c r="G19" s="15" t="inlineStr">
        <is>
          <t>2011</t>
        </is>
      </c>
      <c r="H19" s="15" t="inlineStr">
        <is>
          <t>standard cave (vignerons-buzet.fr)</t>
        </is>
      </c>
      <c r="I19" s="15" t="inlineStr">
        <is>
          <t>via vignerons-buzet.fr</t>
        </is>
      </c>
      <c r="J19" s="15" t="inlineStr">
        <is>
          <t>linkedin.com/company/les-vignerons-de-buzet</t>
        </is>
      </c>
      <c r="K19" s="15" t="inlineStr">
        <is>
          <t>Direction technique de la cave + Reden (exploitant)</t>
        </is>
      </c>
      <c r="L19" s="16" t="n"/>
      <c r="M19" s="17" t="inlineStr">
        <is>
          <t>à chiffrer</t>
        </is>
      </c>
      <c r="N19" s="15" t="inlineStr">
        <is>
          <t>Chai + toitures adhérents : une seule tournée drone pour tout le vignoble</t>
        </is>
      </c>
      <c r="O19" s="18" t="inlineStr">
        <is>
          <t>haute</t>
        </is>
      </c>
      <c r="P19" s="13" t="inlineStr">
        <is>
          <t>À contacter</t>
        </is>
      </c>
      <c r="Q19" s="19" t="inlineStr"/>
    </row>
    <row r="20">
      <c r="A20" s="15" t="n">
        <v>19</v>
      </c>
      <c r="B20" s="15" t="inlineStr">
        <is>
          <t>Serre PV de Caissargues (via ENGIE Green)</t>
        </is>
      </c>
      <c r="C20" s="15" t="inlineStr">
        <is>
          <t>Serre agricole</t>
        </is>
      </c>
      <c r="D20" s="15" t="inlineStr">
        <is>
          <t>17 000 m², 6 270 panneaux, 1,2 MWc (2012, ex-Solairedirect)</t>
        </is>
      </c>
      <c r="E20" s="15" t="inlineStr">
        <is>
          <t>30</t>
        </is>
      </c>
      <c r="F20" s="15" t="n">
        <v>1.2</v>
      </c>
      <c r="G20" s="15" t="inlineStr">
        <is>
          <t>2012</t>
        </is>
      </c>
      <c r="H20" s="15" t="inlineStr">
        <is>
          <t>via ENGIE Green 04 99 52 64 70</t>
        </is>
      </c>
      <c r="I20" s="15" t="inlineStr">
        <is>
          <t>formulaire engie-green.fr</t>
        </is>
      </c>
      <c r="J20" s="15" t="inlineStr">
        <is>
          <t>—</t>
        </is>
      </c>
      <c r="K20" s="15" t="inlineStr">
        <is>
          <t>Asset Manager ENGIE Green (parc ex-Solairedirect)</t>
        </is>
      </c>
      <c r="L20" s="16" t="n">
        <v>0.11</v>
      </c>
      <c r="M20" s="22" t="n">
        <v>11088</v>
      </c>
      <c r="N20" s="15" t="inlineStr">
        <is>
          <t>Serre de Caissargues : plus de lumière pour la culture ET la production</t>
        </is>
      </c>
      <c r="O20" s="18" t="inlineStr">
        <is>
          <t>haute</t>
        </is>
      </c>
      <c r="P20" s="13" t="inlineStr">
        <is>
          <t>À contacter</t>
        </is>
      </c>
      <c r="Q20" s="19" t="inlineStr"/>
    </row>
    <row r="21">
      <c r="A21" s="15" t="n">
        <v>20</v>
      </c>
      <c r="B21" s="15" t="inlineStr">
        <is>
          <t>Mairie des Mées (piste : 18,2 MWc ex-Enfinity, fonds Doric)</t>
        </is>
      </c>
      <c r="C21" s="15" t="inlineStr">
        <is>
          <t>Piste à élucider</t>
        </is>
      </c>
      <c r="D21" s="15" t="inlineStr">
        <is>
          <t>2 centrales ex-Enfinity du plateau (18,2 MWc, 2011) cédées au fonds allemand Doric — propriétaire actuel à identifier via la mairie/DDT</t>
        </is>
      </c>
      <c r="E21" s="15" t="inlineStr">
        <is>
          <t>04</t>
        </is>
      </c>
      <c r="F21" s="15" t="n">
        <v>18.2</v>
      </c>
      <c r="G21" s="15" t="inlineStr">
        <is>
          <t>2011</t>
        </is>
      </c>
      <c r="H21" s="15" t="inlineStr">
        <is>
          <t>standard mairie des Mées</t>
        </is>
      </c>
      <c r="I21" s="15" t="inlineStr">
        <is>
          <t>—</t>
        </is>
      </c>
      <c r="J21" s="15" t="inlineStr">
        <is>
          <t>—</t>
        </is>
      </c>
      <c r="K21" s="15" t="inlineStr">
        <is>
          <t>Secrétariat général mairie (identification de l'exploitant)</t>
        </is>
      </c>
      <c r="L21" s="16" t="n">
        <v>0.31</v>
      </c>
      <c r="M21" s="22" t="n">
        <v>473928</v>
      </c>
      <c r="N21" s="15" t="inlineStr">
        <is>
          <t>(prise de renseignement avant démarchage)</t>
        </is>
      </c>
      <c r="O21" s="18" t="inlineStr">
        <is>
          <t>incertain</t>
        </is>
      </c>
      <c r="P21" s="13" t="inlineStr">
        <is>
          <t>À contacter</t>
        </is>
      </c>
      <c r="Q21" s="19" t="inlineStr"/>
    </row>
    <row r="22"/>
    <row r="23" ht="45" customHeight="1">
      <c r="B23" s="20" t="inlineStr">
        <is>
          <t>Vert = vague 1 (priorités 1 à 10, semaine 1). Cellules bleues/jaunes = à remplir ou ajuster (tarif, statut, notes). Perte estimée = MWc × productible × encrassement × tarif (voir onglet Hypotheses) — ordre de grandeur commercial, à confirmer par site. Données collectées par recherche web juillet 2026 (sources dans docs/prospection/).</t>
        </is>
      </c>
    </row>
  </sheetData>
  <autoFilter ref="A1:Q21"/>
  <mergeCells count="1">
    <mergeCell ref="B23:M23"/>
  </mergeCells>
  <dataValidations count="1">
    <dataValidation sqref="P2 P3 P4 P5 P6 P7 P8 P9 P10 P11 P12 P13 P14 P15 P16 P17 P18 P19 P20 P21" showDropDown="0" showInputMessage="0" showErrorMessage="0" allowBlank="1" type="list">
      <formula1>"À contacter,Mail envoyé,LinkedIn ajouté,Appelé,RDV pris,Audit calé,Client,Sans suite"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2026-07-20T07:59:38Z</dcterms:created>
  <dcterms:modified xsi:type="dcterms:W3CDTF">2026-07-20T08:11:08Z</dcterms:modified>
</cp:coreProperties>
</file>